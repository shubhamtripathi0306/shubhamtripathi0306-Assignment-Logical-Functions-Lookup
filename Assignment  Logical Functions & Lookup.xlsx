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_tripathi\Desktop\"/>
    </mc:Choice>
  </mc:AlternateContent>
  <xr:revisionPtr revIDLastSave="0" documentId="13_ncr:1_{3C216417-2175-430A-B974-9FF82851BF43}" xr6:coauthVersionLast="44" xr6:coauthVersionMax="44" xr10:uidLastSave="{00000000-0000-0000-0000-000000000000}"/>
  <bookViews>
    <workbookView xWindow="-110" yWindow="-110" windowWidth="19420" windowHeight="10300" xr2:uid="{26335588-F940-4AD4-B5E0-A76CE31BA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60" i="1" l="1"/>
  <c r="F53" i="1"/>
  <c r="F54" i="1"/>
  <c r="F52" i="1"/>
  <c r="E42" i="1"/>
  <c r="F34" i="1"/>
  <c r="D25" i="1"/>
  <c r="D26" i="1"/>
  <c r="D27" i="1"/>
  <c r="D28" i="1"/>
  <c r="D24" i="1"/>
  <c r="E16" i="1"/>
  <c r="E17" i="1"/>
  <c r="E18" i="1"/>
  <c r="E15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<sst xmlns="http://schemas.openxmlformats.org/spreadsheetml/2006/main" count="67" uniqueCount="55">
  <si>
    <t>Student Name</t>
  </si>
  <si>
    <t>Marks</t>
  </si>
  <si>
    <t>Riya</t>
  </si>
  <si>
    <t>Siya</t>
  </si>
  <si>
    <t>Raju</t>
  </si>
  <si>
    <t>Rahul</t>
  </si>
  <si>
    <t>Ram</t>
  </si>
  <si>
    <t>Assignment Questions</t>
  </si>
  <si>
    <t>QUEST 2.</t>
  </si>
  <si>
    <t>Employee</t>
  </si>
  <si>
    <t>Sales</t>
  </si>
  <si>
    <t>Attendance</t>
  </si>
  <si>
    <t>Arjun</t>
  </si>
  <si>
    <t xml:space="preserve">Simran </t>
  </si>
  <si>
    <t>Rohit</t>
  </si>
  <si>
    <t>Anjali</t>
  </si>
  <si>
    <t>QUEST 3.</t>
  </si>
  <si>
    <t>Raj</t>
  </si>
  <si>
    <t>Neha</t>
  </si>
  <si>
    <t>Vivek</t>
  </si>
  <si>
    <t>Rani</t>
  </si>
  <si>
    <t>Sneha</t>
  </si>
  <si>
    <t>Status</t>
  </si>
  <si>
    <t>Result</t>
  </si>
  <si>
    <t>QUEST 4.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</si>
  <si>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</si>
  <si>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</si>
  <si>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</si>
  <si>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</si>
  <si>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</si>
  <si>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</si>
  <si>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</si>
  <si>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</si>
  <si>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</si>
  <si>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</si>
  <si>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</si>
  <si>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</si>
  <si>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QUEST 1.</t>
  </si>
  <si>
    <t>QUEST 5.</t>
  </si>
  <si>
    <t>Sales Amount</t>
  </si>
  <si>
    <t>Commission Rate</t>
  </si>
  <si>
    <t>QUEST 6.</t>
  </si>
  <si>
    <t>we will use Vlookup as the data is vertically set and we have to search the order in vertical</t>
  </si>
  <si>
    <t>Employee Name</t>
  </si>
  <si>
    <t>Leaves Taken</t>
  </si>
  <si>
    <t>Leaves Allowed</t>
  </si>
  <si>
    <t>Alex</t>
  </si>
  <si>
    <t>Bob</t>
  </si>
  <si>
    <t>Anna</t>
  </si>
  <si>
    <t>QUEST 7.</t>
  </si>
  <si>
    <t>Salary</t>
  </si>
  <si>
    <t>E105</t>
  </si>
  <si>
    <t>E106</t>
  </si>
  <si>
    <t>QUEST 8.</t>
  </si>
  <si>
    <t>I have excel version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</si>
</sst>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3" borderId="0" xfId="0" applyFill="1"/>
    <xf numFmtId="0" fontId="0" fillId="3" borderId="1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5" borderId="15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5" borderId="16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0" borderId="9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0" fontId="0" fillId="3" borderId="0" xfId="0" applyNumberFormat="1" applyFill="1" applyAlignment="1">
      <alignment horizontal="center" vertic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3EA4-3973-4F57-BD9C-1C3DBD0F0363}">
  <dimension ref="A1:M66"/>
  <sheetViews>
    <sheetView tabSelected="1" workbookViewId="0">
      <selection activeCell="I68" sqref="I68"/>
    </sheetView>
  </sheetViews>
  <sheetFormatPr defaultRowHeight="14.5" x14ac:dyDescent="0.35"/>
  <cols>
    <col min="1" max="2" width="12.6328125" bestFit="1" customWidth="1"/>
    <col min="3" max="3" width="11.36328125" customWidth="1"/>
    <col min="4" max="4" width="11.54296875" customWidth="1"/>
  </cols>
  <sheetData>
    <row r="1" spans="1:6" ht="50.5" customHeight="1" x14ac:dyDescent="0.35">
      <c r="A1" s="4" t="s">
        <v>7</v>
      </c>
      <c r="B1" s="4"/>
      <c r="C1" s="4"/>
      <c r="D1" s="4"/>
      <c r="E1" s="4"/>
      <c r="F1" s="4"/>
    </row>
    <row r="3" spans="1:6" x14ac:dyDescent="0.35">
      <c r="A3" t="s">
        <v>37</v>
      </c>
    </row>
    <row r="4" spans="1:6" x14ac:dyDescent="0.35">
      <c r="B4" s="2" t="s">
        <v>0</v>
      </c>
      <c r="C4" s="2" t="s">
        <v>1</v>
      </c>
      <c r="E4" s="5" t="s">
        <v>23</v>
      </c>
    </row>
    <row r="5" spans="1:6" x14ac:dyDescent="0.35">
      <c r="B5" s="1" t="s">
        <v>2</v>
      </c>
      <c r="C5" s="1">
        <v>45</v>
      </c>
      <c r="E5" s="7" t="str">
        <f>IF(C5&gt;=40,"Pass","Fail")</f>
        <v>Pass</v>
      </c>
    </row>
    <row r="6" spans="1:6" x14ac:dyDescent="0.35">
      <c r="B6" s="1" t="s">
        <v>3</v>
      </c>
      <c r="C6" s="1">
        <v>72</v>
      </c>
      <c r="E6" s="7" t="str">
        <f t="shared" ref="E6:E9" si="0">IF(C6&gt;=40,"Pass","Fail")</f>
        <v>Pass</v>
      </c>
    </row>
    <row r="7" spans="1:6" x14ac:dyDescent="0.35">
      <c r="B7" s="1" t="s">
        <v>4</v>
      </c>
      <c r="C7" s="1">
        <v>55</v>
      </c>
      <c r="E7" s="7" t="str">
        <f t="shared" si="0"/>
        <v>Pass</v>
      </c>
    </row>
    <row r="8" spans="1:6" x14ac:dyDescent="0.35">
      <c r="B8" s="1" t="s">
        <v>5</v>
      </c>
      <c r="C8" s="1">
        <v>80</v>
      </c>
      <c r="E8" s="7" t="str">
        <f t="shared" si="0"/>
        <v>Pass</v>
      </c>
    </row>
    <row r="9" spans="1:6" x14ac:dyDescent="0.35">
      <c r="B9" s="1" t="s">
        <v>6</v>
      </c>
      <c r="C9" s="1">
        <v>30</v>
      </c>
      <c r="E9" s="7" t="str">
        <f t="shared" si="0"/>
        <v>Fail</v>
      </c>
    </row>
    <row r="12" spans="1:6" x14ac:dyDescent="0.35">
      <c r="A12" t="s">
        <v>8</v>
      </c>
    </row>
    <row r="13" spans="1:6" ht="15" thickBot="1" x14ac:dyDescent="0.4"/>
    <row r="14" spans="1:6" x14ac:dyDescent="0.35">
      <c r="B14" s="8" t="s">
        <v>9</v>
      </c>
      <c r="C14" s="9" t="s">
        <v>10</v>
      </c>
      <c r="D14" s="9" t="s">
        <v>11</v>
      </c>
      <c r="E14" s="16" t="s">
        <v>22</v>
      </c>
    </row>
    <row r="15" spans="1:6" x14ac:dyDescent="0.35">
      <c r="B15" s="11" t="s">
        <v>12</v>
      </c>
      <c r="C15" s="1">
        <v>55000</v>
      </c>
      <c r="D15" s="1">
        <v>95</v>
      </c>
      <c r="E15" s="17" t="str">
        <f>IF(AND(C15&gt;40000,D15&gt;=90),"Bonus","No Bonus")</f>
        <v>Bonus</v>
      </c>
    </row>
    <row r="16" spans="1:6" x14ac:dyDescent="0.35">
      <c r="B16" s="11" t="s">
        <v>13</v>
      </c>
      <c r="C16" s="1">
        <v>65000</v>
      </c>
      <c r="D16" s="1">
        <v>85</v>
      </c>
      <c r="E16" s="17" t="str">
        <f t="shared" ref="E16:E18" si="1">IF(AND(C16&gt;40000,D16&gt;=90),"Bonus","No Bonus")</f>
        <v>No Bonus</v>
      </c>
    </row>
    <row r="17" spans="1:5" x14ac:dyDescent="0.35">
      <c r="B17" s="11" t="s">
        <v>14</v>
      </c>
      <c r="C17" s="1">
        <v>30000</v>
      </c>
      <c r="D17" s="1">
        <v>90</v>
      </c>
      <c r="E17" s="17" t="str">
        <f t="shared" si="1"/>
        <v>No Bonus</v>
      </c>
    </row>
    <row r="18" spans="1:5" ht="15" thickBot="1" x14ac:dyDescent="0.4">
      <c r="B18" s="15" t="s">
        <v>15</v>
      </c>
      <c r="C18" s="13">
        <v>25000</v>
      </c>
      <c r="D18" s="13">
        <v>65</v>
      </c>
      <c r="E18" s="18" t="str">
        <f t="shared" si="1"/>
        <v>No Bonus</v>
      </c>
    </row>
    <row r="21" spans="1:5" x14ac:dyDescent="0.35">
      <c r="A21" t="s">
        <v>16</v>
      </c>
    </row>
    <row r="22" spans="1:5" ht="15" thickBot="1" x14ac:dyDescent="0.4"/>
    <row r="23" spans="1:5" x14ac:dyDescent="0.35">
      <c r="B23" s="8" t="s">
        <v>0</v>
      </c>
      <c r="C23" s="9" t="s">
        <v>1</v>
      </c>
      <c r="D23" s="16" t="s">
        <v>22</v>
      </c>
    </row>
    <row r="24" spans="1:5" x14ac:dyDescent="0.35">
      <c r="B24" s="11" t="s">
        <v>17</v>
      </c>
      <c r="C24" s="1">
        <v>85</v>
      </c>
      <c r="D24" s="17" t="str">
        <f>_xlfn.IFS(C24&gt;=90,"A", C24&gt;=75,"B", C24&gt;=50,"C", TRUE,"Fail")</f>
        <v>B</v>
      </c>
    </row>
    <row r="25" spans="1:5" x14ac:dyDescent="0.35">
      <c r="B25" s="11" t="s">
        <v>18</v>
      </c>
      <c r="C25" s="1">
        <v>96</v>
      </c>
      <c r="D25" s="17" t="str">
        <f t="shared" ref="D25:D28" si="2">_xlfn.IFS(C25&gt;=90,"A", C25&gt;=75,"B", C25&gt;=50,"C", TRUE,"Fail")</f>
        <v>A</v>
      </c>
    </row>
    <row r="26" spans="1:5" x14ac:dyDescent="0.35">
      <c r="B26" s="11" t="s">
        <v>19</v>
      </c>
      <c r="C26" s="1">
        <v>57</v>
      </c>
      <c r="D26" s="17" t="str">
        <f t="shared" si="2"/>
        <v>C</v>
      </c>
    </row>
    <row r="27" spans="1:5" x14ac:dyDescent="0.35">
      <c r="B27" s="11" t="s">
        <v>20</v>
      </c>
      <c r="C27" s="1">
        <v>92</v>
      </c>
      <c r="D27" s="17" t="str">
        <f t="shared" si="2"/>
        <v>A</v>
      </c>
    </row>
    <row r="28" spans="1:5" ht="15" thickBot="1" x14ac:dyDescent="0.4">
      <c r="B28" s="15" t="s">
        <v>21</v>
      </c>
      <c r="C28" s="13">
        <v>75</v>
      </c>
      <c r="D28" s="18" t="str">
        <f t="shared" si="2"/>
        <v>B</v>
      </c>
    </row>
    <row r="31" spans="1:5" x14ac:dyDescent="0.35">
      <c r="A31" t="s">
        <v>24</v>
      </c>
    </row>
    <row r="32" spans="1:5" ht="15" thickBot="1" x14ac:dyDescent="0.4"/>
    <row r="33" spans="1:13" x14ac:dyDescent="0.35">
      <c r="B33" s="19" t="s">
        <v>25</v>
      </c>
      <c r="C33" s="20" t="s">
        <v>26</v>
      </c>
      <c r="D33" s="21" t="s">
        <v>27</v>
      </c>
    </row>
    <row r="34" spans="1:13" x14ac:dyDescent="0.35">
      <c r="B34" s="22" t="s">
        <v>28</v>
      </c>
      <c r="C34" s="23" t="s">
        <v>4</v>
      </c>
      <c r="D34" s="24" t="s">
        <v>34</v>
      </c>
      <c r="F34" s="6" t="str">
        <f>VLOOKUP(B36,B33:D37,3,TRUE)</f>
        <v>Finance</v>
      </c>
      <c r="G34" s="37" t="s">
        <v>42</v>
      </c>
      <c r="H34" s="37"/>
      <c r="I34" s="37"/>
      <c r="J34" s="37"/>
      <c r="K34" s="37"/>
      <c r="L34" s="37"/>
      <c r="M34" s="37"/>
    </row>
    <row r="35" spans="1:13" x14ac:dyDescent="0.35">
      <c r="B35" s="25" t="s">
        <v>29</v>
      </c>
      <c r="C35" s="26" t="s">
        <v>2</v>
      </c>
      <c r="D35" s="27" t="s">
        <v>35</v>
      </c>
      <c r="G35" s="37"/>
      <c r="H35" s="37"/>
      <c r="I35" s="37"/>
      <c r="J35" s="37"/>
      <c r="K35" s="37"/>
      <c r="L35" s="37"/>
      <c r="M35" s="37"/>
    </row>
    <row r="36" spans="1:13" x14ac:dyDescent="0.35">
      <c r="B36" s="22" t="s">
        <v>30</v>
      </c>
      <c r="C36" s="23" t="s">
        <v>32</v>
      </c>
      <c r="D36" s="24" t="s">
        <v>36</v>
      </c>
      <c r="G36" s="37"/>
      <c r="H36" s="37"/>
      <c r="I36" s="37"/>
      <c r="J36" s="37"/>
      <c r="K36" s="37"/>
      <c r="L36" s="37"/>
      <c r="M36" s="37"/>
    </row>
    <row r="37" spans="1:13" ht="15" thickBot="1" x14ac:dyDescent="0.4">
      <c r="B37" s="28" t="s">
        <v>31</v>
      </c>
      <c r="C37" s="29" t="s">
        <v>33</v>
      </c>
      <c r="D37" s="30" t="s">
        <v>10</v>
      </c>
    </row>
    <row r="40" spans="1:13" x14ac:dyDescent="0.35">
      <c r="A40" t="s">
        <v>38</v>
      </c>
    </row>
    <row r="41" spans="1:13" ht="15" thickBot="1" x14ac:dyDescent="0.4"/>
    <row r="42" spans="1:13" ht="29" x14ac:dyDescent="0.35">
      <c r="B42" s="31" t="s">
        <v>39</v>
      </c>
      <c r="C42" s="32" t="s">
        <v>40</v>
      </c>
      <c r="E42" s="45">
        <f>VLOOKUP(45000, B42:C46, 2, TRUE)</f>
        <v>0.1</v>
      </c>
    </row>
    <row r="43" spans="1:13" x14ac:dyDescent="0.35">
      <c r="B43" s="33">
        <v>0</v>
      </c>
      <c r="C43" s="34">
        <v>0.05</v>
      </c>
    </row>
    <row r="44" spans="1:13" x14ac:dyDescent="0.35">
      <c r="B44" s="33">
        <v>20000</v>
      </c>
      <c r="C44" s="34">
        <v>0.1</v>
      </c>
    </row>
    <row r="45" spans="1:13" x14ac:dyDescent="0.35">
      <c r="B45" s="33">
        <v>50000</v>
      </c>
      <c r="C45" s="34">
        <v>0.15</v>
      </c>
    </row>
    <row r="46" spans="1:13" ht="15" thickBot="1" x14ac:dyDescent="0.4">
      <c r="B46" s="35">
        <v>80000</v>
      </c>
      <c r="C46" s="36">
        <v>0.2</v>
      </c>
    </row>
    <row r="49" spans="1:6" x14ac:dyDescent="0.35">
      <c r="A49" t="s">
        <v>41</v>
      </c>
    </row>
    <row r="50" spans="1:6" ht="15" thickBot="1" x14ac:dyDescent="0.4"/>
    <row r="51" spans="1:6" ht="29" x14ac:dyDescent="0.35">
      <c r="B51" s="31" t="s">
        <v>43</v>
      </c>
      <c r="C51" s="39" t="s">
        <v>44</v>
      </c>
      <c r="D51" s="32" t="s">
        <v>45</v>
      </c>
    </row>
    <row r="52" spans="1:6" x14ac:dyDescent="0.35">
      <c r="B52" s="33" t="s">
        <v>46</v>
      </c>
      <c r="C52" s="38">
        <v>10</v>
      </c>
      <c r="D52" s="40">
        <v>12</v>
      </c>
      <c r="F52" s="7" t="str">
        <f>IF(C52&gt;D52,"Exceeded","OK")</f>
        <v>OK</v>
      </c>
    </row>
    <row r="53" spans="1:6" x14ac:dyDescent="0.35">
      <c r="B53" s="33" t="s">
        <v>47</v>
      </c>
      <c r="C53" s="38">
        <v>10</v>
      </c>
      <c r="D53" s="40">
        <v>15</v>
      </c>
      <c r="F53" s="7" t="str">
        <f t="shared" ref="F53:F54" si="3">IF(C53&gt;D53,"Exceeded","OK")</f>
        <v>OK</v>
      </c>
    </row>
    <row r="54" spans="1:6" ht="15" thickBot="1" x14ac:dyDescent="0.4">
      <c r="B54" s="35" t="s">
        <v>48</v>
      </c>
      <c r="C54" s="41">
        <v>8</v>
      </c>
      <c r="D54" s="42">
        <v>12</v>
      </c>
      <c r="F54" s="7" t="str">
        <f t="shared" si="3"/>
        <v>OK</v>
      </c>
    </row>
    <row r="57" spans="1:6" x14ac:dyDescent="0.35">
      <c r="A57" t="s">
        <v>49</v>
      </c>
    </row>
    <row r="58" spans="1:6" ht="15" thickBot="1" x14ac:dyDescent="0.4"/>
    <row r="59" spans="1:6" x14ac:dyDescent="0.35">
      <c r="B59" s="8" t="s">
        <v>25</v>
      </c>
      <c r="C59" s="10" t="s">
        <v>50</v>
      </c>
      <c r="E59" s="43" t="s">
        <v>25</v>
      </c>
      <c r="F59" s="16" t="s">
        <v>50</v>
      </c>
    </row>
    <row r="60" spans="1:6" ht="15" thickBot="1" x14ac:dyDescent="0.4">
      <c r="B60" s="11" t="s">
        <v>31</v>
      </c>
      <c r="C60" s="12">
        <v>55000</v>
      </c>
      <c r="E60" s="44" t="s">
        <v>51</v>
      </c>
      <c r="F60" s="18">
        <f>INDEX(C59:C63, MATCH(B61,B59:B63,0))</f>
        <v>72000</v>
      </c>
    </row>
    <row r="61" spans="1:6" x14ac:dyDescent="0.35">
      <c r="B61" s="11" t="s">
        <v>51</v>
      </c>
      <c r="C61" s="12">
        <v>72000</v>
      </c>
    </row>
    <row r="62" spans="1:6" x14ac:dyDescent="0.35">
      <c r="B62" s="11" t="s">
        <v>52</v>
      </c>
      <c r="C62" s="12">
        <v>62000</v>
      </c>
    </row>
    <row r="63" spans="1:6" ht="15" thickBot="1" x14ac:dyDescent="0.4">
      <c r="B63" s="15" t="s">
        <v>29</v>
      </c>
      <c r="C63" s="14">
        <v>41000</v>
      </c>
    </row>
    <row r="64" spans="1:6" x14ac:dyDescent="0.35">
      <c r="B64" s="3"/>
      <c r="C64" s="3"/>
    </row>
    <row r="66" spans="1:4" x14ac:dyDescent="0.35">
      <c r="A66" t="s">
        <v>53</v>
      </c>
      <c r="B66" s="46" t="s">
        <v>54</v>
      </c>
      <c r="C66" s="46"/>
      <c r="D66" s="46"/>
    </row>
  </sheetData>
  <mergeCells count="3">
    <mergeCell ref="A1:F1"/>
    <mergeCell ref="G34:M36"/>
    <mergeCell ref="B66:D66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Tripathi</dc:creator>
  <cp:lastModifiedBy>Shubham Tripathi</cp:lastModifiedBy>
  <dcterms:created xsi:type="dcterms:W3CDTF">2026-01-15T18:25:45Z</dcterms:created>
  <dcterms:modified xsi:type="dcterms:W3CDTF">2026-01-15T21:19:10Z</dcterms:modified>
</cp:coreProperties>
</file>